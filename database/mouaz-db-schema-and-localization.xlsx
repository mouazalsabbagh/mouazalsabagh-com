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6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ommendations" sheetId="2" state="visible" r:id="rId4"/>
    <sheet name="pages" sheetId="3" state="visible" r:id="rId5"/>
    <sheet name="translations" sheetId="4" state="visible" r:id="rId6"/>
    <sheet name="Lookups" sheetId="5" state="visible" r:id="rId7"/>
    <sheet name="Localization" sheetId="6" state="visible" r:id="rId8"/>
    <sheet name="DDL" sheetId="7" state="visible" r:id="rId9"/>
  </sheets>
  <definedNames>
    <definedName function="false" hidden="true" localSheetId="5" name="_xlnm._FilterDatabase" vbProcedure="false">Localization!$A$4:$D$28</definedName>
    <definedName function="false" hidden="true" localSheetId="4" name="_xlnm._FilterDatabase" vbProcedure="false">Lookups!$A$3:$C$10</definedName>
    <definedName function="false" hidden="true" localSheetId="0" name="_xlnm._FilterDatabase" vbProcedure="false">Overview!$A$14:$B$20</definedName>
    <definedName function="false" hidden="true" localSheetId="2" name="_xlnm._FilterDatabase" vbProcedure="false">pages!$A$4:$F$15</definedName>
    <definedName function="false" hidden="true" localSheetId="1" name="_xlnm._FilterDatabase" vbProcedure="false">recommendations!$A$4:$F$27</definedName>
    <definedName function="false" hidden="true" localSheetId="3" name="_xlnm._FilterDatabase" vbProcedure="false">translations!$A$4:$F$10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schema</author>
  </authors>
  <commentList>
    <comment ref="F25" authorId="0">
      <text>
        <r>
          <rPr>
            <sz val="10"/>
            <rFont val="Arial"/>
            <family val="2"/>
          </rPr>
          <t xml:space="preserve">Drives which language the letter is generated in. Mirrors the 'translations' / Localization layer (en/ar).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schema</author>
  </authors>
  <commentList>
    <comment ref="E4" authorId="0">
      <text>
        <r>
          <rPr>
            <sz val="10"/>
            <rFont val="Arial"/>
            <family val="2"/>
          </rPr>
          <t xml:space="preserve">Add a composite UNIQUE index on (slug, lang) so EN and AR versions of the same page coexist.</t>
        </r>
      </text>
    </comment>
  </commentList>
</comments>
</file>

<file path=xl/sharedStrings.xml><?xml version="1.0" encoding="utf-8"?>
<sst xmlns="http://schemas.openxmlformats.org/spreadsheetml/2006/main" count="424" uniqueCount="279">
  <si>
    <t xml:space="preserve">Mouaz AlSabbagh — Database Schema &amp; Localization</t>
  </si>
  <si>
    <t xml:space="preserve">Content organized into a relational schema + English/Arabic localization layer.  Generated 2026-06-03.</t>
  </si>
  <si>
    <t xml:space="preserve">Workbook contents</t>
  </si>
  <si>
    <t xml:space="preserve">Sheet</t>
  </si>
  <si>
    <t xml:space="preserve">Description</t>
  </si>
  <si>
    <t xml:space="preserve">recommendations</t>
  </si>
  <si>
    <t xml:space="preserve">LIVE table — recommendation-letter submissions (from rec/collect.php)</t>
  </si>
  <si>
    <t xml:space="preserve">pages</t>
  </si>
  <si>
    <t xml:space="preserve">PROPOSED table — template-driven page creation / draft workflow</t>
  </si>
  <si>
    <t xml:space="preserve">translations</t>
  </si>
  <si>
    <t xml:space="preserve">PROPOSED table — UI string i18n (key → en/ar)</t>
  </si>
  <si>
    <t xml:space="preserve">Lookups</t>
  </si>
  <si>
    <t xml:space="preserve">Allowed values (ENUMs) and suggested option lists</t>
  </si>
  <si>
    <t xml:space="preserve">Localization</t>
  </si>
  <si>
    <t xml:space="preserve">English ⇄ Arabic UI strings, ready to drive multi-language display</t>
  </si>
  <si>
    <t xml:space="preserve">DDL</t>
  </si>
  <si>
    <t xml:space="preserve">Copy-paste CREATE TABLE statements</t>
  </si>
  <si>
    <t xml:space="preserve">Live metrics</t>
  </si>
  <si>
    <t xml:space="preserve">Metric</t>
  </si>
  <si>
    <t xml:space="preserve">Value</t>
  </si>
  <si>
    <t xml:space="preserve">Columns in 'recommendations'</t>
  </si>
  <si>
    <t xml:space="preserve">Columns in 'pages' (proposed)</t>
  </si>
  <si>
    <t xml:space="preserve">Columns in 'translations' (proposed)</t>
  </si>
  <si>
    <t xml:space="preserve">Localization strings defined</t>
  </si>
  <si>
    <t xml:space="preserve">Strings missing Arabic</t>
  </si>
  <si>
    <t xml:space="preserve">Localization coverage (Arabic)</t>
  </si>
  <si>
    <t xml:space="preserve">Legend</t>
  </si>
  <si>
    <t xml:space="preserve">Orange rows = PROPOSED (not yet created in MySQL).</t>
  </si>
  <si>
    <t xml:space="preserve">Yellow = needs your input / update.</t>
  </si>
  <si>
    <t xml:space="preserve">Table: recommendations  (LIVE)</t>
  </si>
  <si>
    <t xml:space="preserve">Engine InnoDB · CHARSET utf8mb4 · auto-created by installTable() in rec/collect.php</t>
  </si>
  <si>
    <t xml:space="preserve">Column</t>
  </si>
  <si>
    <t xml:space="preserve">Data Type</t>
  </si>
  <si>
    <t xml:space="preserve">Null</t>
  </si>
  <si>
    <t xml:space="preserve">Default</t>
  </si>
  <si>
    <t xml:space="preserve">Key</t>
  </si>
  <si>
    <t xml:space="preserve">id</t>
  </si>
  <si>
    <t xml:space="preserve">INT</t>
  </si>
  <si>
    <t xml:space="preserve">NO</t>
  </si>
  <si>
    <t xml:space="preserve">AUTO_INCREMENT</t>
  </si>
  <si>
    <t xml:space="preserve">PK</t>
  </si>
  <si>
    <t xml:space="preserve">Primary key</t>
  </si>
  <si>
    <t xml:space="preserve">submitted_at</t>
  </si>
  <si>
    <t xml:space="preserve">DATETIME</t>
  </si>
  <si>
    <t xml:space="preserve">CURRENT_TIMESTAMP</t>
  </si>
  <si>
    <t xml:space="preserve">Time submission received</t>
  </si>
  <si>
    <t xml:space="preserve">ip_address</t>
  </si>
  <si>
    <t xml:space="preserve">VARCHAR(45)</t>
  </si>
  <si>
    <t xml:space="preserve">YES</t>
  </si>
  <si>
    <t xml:space="preserve">NULL</t>
  </si>
  <si>
    <t xml:space="preserve">Submitter IP (IPv4/IPv6)</t>
  </si>
  <si>
    <t xml:space="preserve">rec_name</t>
  </si>
  <si>
    <t xml:space="preserve">VARCHAR(200)</t>
  </si>
  <si>
    <t xml:space="preserve">Recommender full name</t>
  </si>
  <si>
    <t xml:space="preserve">rec_title</t>
  </si>
  <si>
    <t xml:space="preserve">Recommender job title</t>
  </si>
  <si>
    <t xml:space="preserve">rec_company</t>
  </si>
  <si>
    <t xml:space="preserve">Recommender company</t>
  </si>
  <si>
    <t xml:space="preserve">rec_email</t>
  </si>
  <si>
    <t xml:space="preserve">Recommender email</t>
  </si>
  <si>
    <t xml:space="preserve">rec_contact</t>
  </si>
  <si>
    <t xml:space="preserve">Phone or LinkedIn URL</t>
  </si>
  <si>
    <t xml:space="preserve">rec_date</t>
  </si>
  <si>
    <t xml:space="preserve">VARCHAR(30)</t>
  </si>
  <si>
    <t xml:space="preserve">Letter date as entered</t>
  </si>
  <si>
    <t xml:space="preserve">rel_type</t>
  </si>
  <si>
    <t xml:space="preserve">VARCHAR(60)</t>
  </si>
  <si>
    <t xml:space="preserve">Relationship type (see Lookups)</t>
  </si>
  <si>
    <t xml:space="preserve">rel_duration</t>
  </si>
  <si>
    <t xml:space="preserve">Relationship duration</t>
  </si>
  <si>
    <t xml:space="preserve">rel_context</t>
  </si>
  <si>
    <t xml:space="preserve">TEXT</t>
  </si>
  <si>
    <t xml:space="preserve">How they worked together</t>
  </si>
  <si>
    <t xml:space="preserve">target_role</t>
  </si>
  <si>
    <t xml:space="preserve">VARCHAR(100)</t>
  </si>
  <si>
    <t xml:space="preserve">Role being applied for</t>
  </si>
  <si>
    <t xml:space="preserve">target_company</t>
  </si>
  <si>
    <t xml:space="preserve">Target company</t>
  </si>
  <si>
    <t xml:space="preserve">target_industry</t>
  </si>
  <si>
    <t xml:space="preserve">Target industry</t>
  </si>
  <si>
    <t xml:space="preserve">strengths</t>
  </si>
  <si>
    <t xml:space="preserve">Key strengths</t>
  </si>
  <si>
    <t xml:space="preserve">obs_project</t>
  </si>
  <si>
    <t xml:space="preserve">Project observation</t>
  </si>
  <si>
    <t xml:space="preserve">obs_character</t>
  </si>
  <si>
    <t xml:space="preserve">Character observation</t>
  </si>
  <si>
    <t xml:space="preserve">letter_tone</t>
  </si>
  <si>
    <t xml:space="preserve">Desired tone (see Lookups)</t>
  </si>
  <si>
    <t xml:space="preserve">letter_length</t>
  </si>
  <si>
    <t xml:space="preserve">Desired length (see Lookups)</t>
  </si>
  <si>
    <t xml:space="preserve">lang</t>
  </si>
  <si>
    <t xml:space="preserve">VARCHAR(5)</t>
  </si>
  <si>
    <t xml:space="preserve">'en'</t>
  </si>
  <si>
    <t xml:space="preserve">IDX</t>
  </si>
  <si>
    <t xml:space="preserve">Letter language: en | ar</t>
  </si>
  <si>
    <t xml:space="preserve">generated_letter</t>
  </si>
  <si>
    <t xml:space="preserve">LONGTEXT</t>
  </si>
  <si>
    <t xml:space="preserve">AI-generated letter text</t>
  </si>
  <si>
    <t xml:space="preserve">status</t>
  </si>
  <si>
    <t xml:space="preserve">ENUM('new','reviewed','downloaded')</t>
  </si>
  <si>
    <t xml:space="preserve">'new'</t>
  </si>
  <si>
    <t xml:space="preserve">Workflow status</t>
  </si>
  <si>
    <t xml:space="preserve">Table: pages  (PROPOSED)</t>
  </si>
  <si>
    <t xml:space="preserve">Backs the template-driven page creation / edit / draft workflow (NEXT-STEPS section B).</t>
  </si>
  <si>
    <t xml:space="preserve">slug</t>
  </si>
  <si>
    <t xml:space="preserve">VARCHAR(160)</t>
  </si>
  <si>
    <t xml:space="preserve">UNIQUE</t>
  </si>
  <si>
    <t xml:space="preserve">URL slug, kebab-case</t>
  </si>
  <si>
    <t xml:space="preserve">type</t>
  </si>
  <si>
    <t xml:space="preserve">ENUM('case-study','project-preview','page')</t>
  </si>
  <si>
    <t xml:space="preserve">'page'</t>
  </si>
  <si>
    <t xml:space="preserve">Page kind</t>
  </si>
  <si>
    <t xml:space="preserve">ENUM('draft','published','archived')</t>
  </si>
  <si>
    <t xml:space="preserve">'draft'</t>
  </si>
  <si>
    <t xml:space="preserve">Publish state</t>
  </si>
  <si>
    <t xml:space="preserve">ENUM('en','ar')</t>
  </si>
  <si>
    <t xml:space="preserve">Content language</t>
  </si>
  <si>
    <t xml:space="preserve">title</t>
  </si>
  <si>
    <t xml:space="preserve">VARCHAR(255)</t>
  </si>
  <si>
    <t xml:space="preserve">Page / case-study title</t>
  </si>
  <si>
    <t xml:space="preserve">og_image</t>
  </si>
  <si>
    <t xml:space="preserve">Social share image path (.webp)</t>
  </si>
  <si>
    <t xml:space="preserve">body_html</t>
  </si>
  <si>
    <t xml:space="preserve">Rendered page body</t>
  </si>
  <si>
    <t xml:space="preserve">meta_json</t>
  </si>
  <si>
    <t xml:space="preserve">JSON</t>
  </si>
  <si>
    <t xml:space="preserve">Flexible fields: metrics, tags, client</t>
  </si>
  <si>
    <t xml:space="preserve">created_at</t>
  </si>
  <si>
    <t xml:space="preserve">Created</t>
  </si>
  <si>
    <t xml:space="preserve">updated_at</t>
  </si>
  <si>
    <t xml:space="preserve">CURRENT_TIMESTAMP ON UPDATE</t>
  </si>
  <si>
    <t xml:space="preserve">Last edited</t>
  </si>
  <si>
    <t xml:space="preserve">Table: translations  (PROPOSED)</t>
  </si>
  <si>
    <t xml:space="preserve">UI string internationalization. One row per key; columns per language.</t>
  </si>
  <si>
    <t xml:space="preserve">string_key</t>
  </si>
  <si>
    <t xml:space="preserve">VARCHAR(120)</t>
  </si>
  <si>
    <t xml:space="preserve">Dot key, e.g. nav.home</t>
  </si>
  <si>
    <t xml:space="preserve">en</t>
  </si>
  <si>
    <t xml:space="preserve">English string</t>
  </si>
  <si>
    <t xml:space="preserve">ar</t>
  </si>
  <si>
    <t xml:space="preserve">Arabic string</t>
  </si>
  <si>
    <t xml:space="preserve">context</t>
  </si>
  <si>
    <t xml:space="preserve">Where it is used</t>
  </si>
  <si>
    <t xml:space="preserve">Lookups — allowed values &amp; suggested options</t>
  </si>
  <si>
    <t xml:space="preserve">Field</t>
  </si>
  <si>
    <t xml:space="preserve">Allowed / suggested values</t>
  </si>
  <si>
    <t xml:space="preserve">Note</t>
  </si>
  <si>
    <t xml:space="preserve">recommendations.status</t>
  </si>
  <si>
    <t xml:space="preserve">new | reviewed | downloaded</t>
  </si>
  <si>
    <t xml:space="preserve">ENUM (enforced)</t>
  </si>
  <si>
    <t xml:space="preserve">pages.status</t>
  </si>
  <si>
    <t xml:space="preserve">draft | published | archived</t>
  </si>
  <si>
    <t xml:space="preserve">ENUM (proposed)</t>
  </si>
  <si>
    <t xml:space="preserve">pages.type</t>
  </si>
  <si>
    <t xml:space="preserve">case-study | project-preview | page</t>
  </si>
  <si>
    <t xml:space="preserve">en | ar</t>
  </si>
  <si>
    <t xml:space="preserve">2-letter ISO code</t>
  </si>
  <si>
    <t xml:space="preserve">Manager | Direct Report | Colleague | Client | Mentor | Professor</t>
  </si>
  <si>
    <t xml:space="preserve">suggested</t>
  </si>
  <si>
    <t xml:space="preserve">Professional | Warm | Formal | Enthusiastic</t>
  </si>
  <si>
    <t xml:space="preserve">Short | Medium | Long</t>
  </si>
  <si>
    <t xml:space="preserve">Localization — English ⇄ Arabic UI strings</t>
  </si>
  <si>
    <t xml:space="preserve">Seed data for the 'translations' table / a JSON i18n file. Arabic column is RTL.</t>
  </si>
  <si>
    <t xml:space="preserve">en (English)</t>
  </si>
  <si>
    <t xml:space="preserve">ar (العربية)</t>
  </si>
  <si>
    <t xml:space="preserve">Context</t>
  </si>
  <si>
    <t xml:space="preserve">nav.home</t>
  </si>
  <si>
    <t xml:space="preserve">Home</t>
  </si>
  <si>
    <t xml:space="preserve">الرئيسية</t>
  </si>
  <si>
    <t xml:space="preserve">Main navigation</t>
  </si>
  <si>
    <t xml:space="preserve">nav.about</t>
  </si>
  <si>
    <t xml:space="preserve">About</t>
  </si>
  <si>
    <t xml:space="preserve">نبذة عني</t>
  </si>
  <si>
    <t xml:space="preserve">nav.works</t>
  </si>
  <si>
    <t xml:space="preserve">Works</t>
  </si>
  <si>
    <t xml:space="preserve">الأعمال</t>
  </si>
  <si>
    <t xml:space="preserve">nav.projects</t>
  </si>
  <si>
    <t xml:space="preserve">Projects</t>
  </si>
  <si>
    <t xml:space="preserve">المشاريع</t>
  </si>
  <si>
    <t xml:space="preserve">nav.services</t>
  </si>
  <si>
    <t xml:space="preserve">Services</t>
  </si>
  <si>
    <t xml:space="preserve">الخدمات</t>
  </si>
  <si>
    <t xml:space="preserve">nav.blog</t>
  </si>
  <si>
    <t xml:space="preserve">Blog</t>
  </si>
  <si>
    <t xml:space="preserve">المدونة</t>
  </si>
  <si>
    <t xml:space="preserve">nav.contact</t>
  </si>
  <si>
    <t xml:space="preserve">Contact</t>
  </si>
  <si>
    <t xml:space="preserve">تواصل معي</t>
  </si>
  <si>
    <t xml:space="preserve">btn.view_cv</t>
  </si>
  <si>
    <t xml:space="preserve">View CV</t>
  </si>
  <si>
    <t xml:space="preserve">عرض السيرة الذاتية</t>
  </si>
  <si>
    <t xml:space="preserve">Contact page</t>
  </si>
  <si>
    <t xml:space="preserve">btn.contact_me</t>
  </si>
  <si>
    <t xml:space="preserve">Contact Me</t>
  </si>
  <si>
    <t xml:space="preserve">Hero / CTA</t>
  </si>
  <si>
    <t xml:space="preserve">hero.role</t>
  </si>
  <si>
    <t xml:space="preserve">Senior Art Director &amp; Creative Technologist</t>
  </si>
  <si>
    <t xml:space="preserve">مدير فني أول وتقني إبداعي</t>
  </si>
  <si>
    <t xml:space="preserve">Hero</t>
  </si>
  <si>
    <t xml:space="preserve">section.work_education</t>
  </si>
  <si>
    <t xml:space="preserve">Work &amp; Education</t>
  </si>
  <si>
    <t xml:space="preserve">الخبرات والتعليم</t>
  </si>
  <si>
    <t xml:space="preserve">rec.title</t>
  </si>
  <si>
    <t xml:space="preserve">Recommendation Letter Generator</t>
  </si>
  <si>
    <t xml:space="preserve">منشئ خطابات التوصية</t>
  </si>
  <si>
    <t xml:space="preserve">Recommendation form</t>
  </si>
  <si>
    <t xml:space="preserve">rec.generate</t>
  </si>
  <si>
    <t xml:space="preserve">Generate Recommendation Letter</t>
  </si>
  <si>
    <t xml:space="preserve">إنشاء خطاب التوصية</t>
  </si>
  <si>
    <t xml:space="preserve">rec.copy</t>
  </si>
  <si>
    <t xml:space="preserve">Copy to Clipboard</t>
  </si>
  <si>
    <t xml:space="preserve">نسخ إلى الحافظة</t>
  </si>
  <si>
    <t xml:space="preserve">rec.print</t>
  </si>
  <si>
    <t xml:space="preserve">Print / Save PDF</t>
  </si>
  <si>
    <t xml:space="preserve">طباعة / حفظ PDF</t>
  </si>
  <si>
    <t xml:space="preserve">rec.edit</t>
  </si>
  <si>
    <t xml:space="preserve">Edit &amp; Regenerate</t>
  </si>
  <si>
    <t xml:space="preserve">تعديل وإعادة الإنشاء</t>
  </si>
  <si>
    <t xml:space="preserve">form.name</t>
  </si>
  <si>
    <t xml:space="preserve">Your Name</t>
  </si>
  <si>
    <t xml:space="preserve">الاسم</t>
  </si>
  <si>
    <t xml:space="preserve">Forms</t>
  </si>
  <si>
    <t xml:space="preserve">form.email</t>
  </si>
  <si>
    <t xml:space="preserve">Email</t>
  </si>
  <si>
    <t xml:space="preserve">البريد الإلكتروني</t>
  </si>
  <si>
    <t xml:space="preserve">form.message</t>
  </si>
  <si>
    <t xml:space="preserve">Message</t>
  </si>
  <si>
    <t xml:space="preserve">الرسالة</t>
  </si>
  <si>
    <t xml:space="preserve">form.submit</t>
  </si>
  <si>
    <t xml:space="preserve">Send Message</t>
  </si>
  <si>
    <t xml:space="preserve">إرسال الرسالة</t>
  </si>
  <si>
    <t xml:space="preserve">status.new</t>
  </si>
  <si>
    <t xml:space="preserve">New</t>
  </si>
  <si>
    <t xml:space="preserve">جديد</t>
  </si>
  <si>
    <t xml:space="preserve">Admin dashboard</t>
  </si>
  <si>
    <t xml:space="preserve">status.reviewed</t>
  </si>
  <si>
    <t xml:space="preserve">Reviewed</t>
  </si>
  <si>
    <t xml:space="preserve">تمت المراجعة</t>
  </si>
  <si>
    <t xml:space="preserve">status.downloaded</t>
  </si>
  <si>
    <t xml:space="preserve">Downloaded</t>
  </si>
  <si>
    <t xml:space="preserve">تم التنزيل</t>
  </si>
  <si>
    <t xml:space="preserve">footer.rights</t>
  </si>
  <si>
    <t xml:space="preserve">All Rights Reserved</t>
  </si>
  <si>
    <t xml:space="preserve">جميع الحقوق محفوظة</t>
  </si>
  <si>
    <t xml:space="preserve">Footer</t>
  </si>
  <si>
    <t xml:space="preserve">DDL — CREATE TABLE statements</t>
  </si>
  <si>
    <t xml:space="preserve">-- LIVE (already auto-created by rec/collect.php)</t>
  </si>
  <si>
    <t xml:space="preserve">CREATE TABLE IF NOT EXISTS recommendations (</t>
  </si>
  <si>
    <t xml:space="preserve">  id INT AUTO_INCREMENT PRIMARY KEY,</t>
  </si>
  <si>
    <t xml:space="preserve">  submitted_at DATETIME DEFAULT CURRENT_TIMESTAMP,</t>
  </si>
  <si>
    <t xml:space="preserve">  ip_address VARCHAR(45),</t>
  </si>
  <si>
    <t xml:space="preserve">  rec_name VARCHAR(200), rec_title VARCHAR(200), rec_company VARCHAR(200),</t>
  </si>
  <si>
    <t xml:space="preserve">  rec_email VARCHAR(200), rec_contact VARCHAR(200), rec_date VARCHAR(30),</t>
  </si>
  <si>
    <t xml:space="preserve">  rel_type VARCHAR(60), rel_duration VARCHAR(30), rel_context TEXT,</t>
  </si>
  <si>
    <t xml:space="preserve">  target_role VARCHAR(100), target_company VARCHAR(200), target_industry VARCHAR(100),</t>
  </si>
  <si>
    <t xml:space="preserve">  strengths TEXT, obs_project TEXT, obs_character TEXT,</t>
  </si>
  <si>
    <t xml:space="preserve">  letter_tone VARCHAR(60), letter_length VARCHAR(30),</t>
  </si>
  <si>
    <t xml:space="preserve">  lang VARCHAR(5) DEFAULT 'en',</t>
  </si>
  <si>
    <t xml:space="preserve">  generated_letter LONGTEXT,</t>
  </si>
  <si>
    <t xml:space="preserve">  status ENUM('new','reviewed','downloaded') DEFAULT 'new',</t>
  </si>
  <si>
    <t xml:space="preserve">  INDEX (lang), INDEX (status)</t>
  </si>
  <si>
    <t xml:space="preserve">) ENGINE=InnoDB DEFAULT CHARSET=utf8mb4;</t>
  </si>
  <si>
    <t xml:space="preserve">-- PROPOSED: template-driven pages</t>
  </si>
  <si>
    <t xml:space="preserve">CREATE TABLE IF NOT EXISTS pages (</t>
  </si>
  <si>
    <t xml:space="preserve">  slug VARCHAR(160) NOT NULL,</t>
  </si>
  <si>
    <t xml:space="preserve">  type ENUM('case-study','project-preview','page') NOT NULL DEFAULT 'page',</t>
  </si>
  <si>
    <t xml:space="preserve">  status ENUM('draft','published','archived') NOT NULL DEFAULT 'draft',</t>
  </si>
  <si>
    <t xml:space="preserve">  lang ENUM('en','ar') NOT NULL DEFAULT 'en',</t>
  </si>
  <si>
    <t xml:space="preserve">  title VARCHAR(255), og_image VARCHAR(255),</t>
  </si>
  <si>
    <t xml:space="preserve">  body_html LONGTEXT, meta_json JSON,</t>
  </si>
  <si>
    <t xml:space="preserve">  created_at DATETIME NOT NULL DEFAULT CURRENT_TIMESTAMP,</t>
  </si>
  <si>
    <t xml:space="preserve">  updated_at DATETIME NOT NULL DEFAULT CURRENT_TIMESTAMP ON UPDATE CURRENT_TIMESTAMP,</t>
  </si>
  <si>
    <t xml:space="preserve">  UNIQUE KEY uq_slug_lang (slug, lang), INDEX (status), INDEX (lang)</t>
  </si>
  <si>
    <t xml:space="preserve">-- PROPOSED: UI i18n strings</t>
  </si>
  <si>
    <t xml:space="preserve">CREATE TABLE IF NOT EXISTS translations (</t>
  </si>
  <si>
    <t xml:space="preserve">  string_key VARCHAR(120) NOT NULL UNIQUE,</t>
  </si>
  <si>
    <t xml:space="preserve">  en TEXT, ar TEXT,</t>
  </si>
  <si>
    <t xml:space="preserve">  context VARCHAR(160),</t>
  </si>
  <si>
    <t xml:space="preserve">  updated_at DATETIME NOT NULL DEFAULT CURRENT_TIMESTAMP ON UPDATE CURRENT_TIMESTAMP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</si>
</sst>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4D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sz val="9"/>
      <name val="Courier Ne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2F5F7"/>
        <bgColor rgb="FFFFFFFF"/>
      </patternFill>
    </fill>
    <fill>
      <patternFill patternType="solid">
        <fgColor rgb="FFFDEAD7"/>
        <bgColor rgb="FFFFF6CC"/>
      </patternFill>
    </fill>
    <fill>
      <patternFill patternType="solid">
        <fgColor rgb="FFFFF6CC"/>
        <bgColor rgb="FFFDEAD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0D6"/>
      </left>
      <right style="thin">
        <color rgb="FFC8D0D6"/>
      </right>
      <top style="thin">
        <color rgb="FFC8D0D6"/>
      </top>
      <bottom style="thin">
        <color rgb="FFC8D0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4D"/>
          <bgColor rgb="FF000000"/>
        </patternFill>
      </fill>
    </dxf>
    <dxf>
      <fill>
        <patternFill patternType="solid">
          <fgColor rgb="FFF2F5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6CC"/>
          <bgColor rgb="FF000000"/>
        </patternFill>
      </fill>
    </dxf>
    <dxf>
      <fill>
        <patternFill patternType="solid">
          <fgColor rgb="FFFDEAD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C"/>
      <rgbColor rgb="FFF2F5F7"/>
      <rgbColor rgb="FF660066"/>
      <rgbColor rgb="FFFF8080"/>
      <rgbColor rgb="FF0066CC"/>
      <rgbColor rgb="FFC8D0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46.25" hidden="false" customHeight="false" outlineLevel="0" collapsed="false">
      <c r="A6" s="5" t="s">
        <v>5</v>
      </c>
      <c r="B6" s="5" t="s">
        <v>6</v>
      </c>
    </row>
    <row r="7" customFormat="false" ht="46.25" hidden="false" customHeight="false" outlineLevel="0" collapsed="false">
      <c r="A7" s="6" t="s">
        <v>7</v>
      </c>
      <c r="B7" s="6" t="s">
        <v>8</v>
      </c>
    </row>
    <row r="8" customFormat="false" ht="35.05" hidden="false" customHeight="false" outlineLevel="0" collapsed="false">
      <c r="A8" s="5" t="s">
        <v>9</v>
      </c>
      <c r="B8" s="5" t="s">
        <v>10</v>
      </c>
    </row>
    <row r="9" customFormat="false" ht="35.05" hidden="false" customHeight="false" outlineLevel="0" collapsed="false">
      <c r="A9" s="6" t="s">
        <v>11</v>
      </c>
      <c r="B9" s="6" t="s">
        <v>12</v>
      </c>
    </row>
    <row r="10" customFormat="false" ht="46.25" hidden="false" customHeight="false" outlineLevel="0" collapsed="false">
      <c r="A10" s="5" t="s">
        <v>13</v>
      </c>
      <c r="B10" s="5" t="s">
        <v>14</v>
      </c>
    </row>
    <row r="11" customFormat="false" ht="23.85" hidden="false" customHeight="false" outlineLevel="0" collapsed="false">
      <c r="A11" s="6" t="s">
        <v>15</v>
      </c>
      <c r="B11" s="6" t="s">
        <v>16</v>
      </c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4" t="s">
        <v>18</v>
      </c>
      <c r="B14" s="4" t="s">
        <v>19</v>
      </c>
    </row>
    <row r="15" customFormat="false" ht="15" hidden="false" customHeight="false" outlineLevel="0" collapsed="false">
      <c r="A15" s="5" t="s">
        <v>20</v>
      </c>
      <c r="B15" s="7" t="n">
        <f aca="false">COUNTA(recommendations!A5:A1000)</f>
        <v>23</v>
      </c>
    </row>
    <row r="16" customFormat="false" ht="15" hidden="false" customHeight="false" outlineLevel="0" collapsed="false">
      <c r="A16" s="6" t="s">
        <v>21</v>
      </c>
      <c r="B16" s="8" t="n">
        <f aca="false">COUNTA(pages!A5:A1000)</f>
        <v>11</v>
      </c>
    </row>
    <row r="17" customFormat="false" ht="15" hidden="false" customHeight="false" outlineLevel="0" collapsed="false">
      <c r="A17" s="5" t="s">
        <v>22</v>
      </c>
      <c r="B17" s="7" t="n">
        <f aca="false">COUNTA(translations!A5:A1000)</f>
        <v>6</v>
      </c>
    </row>
    <row r="18" customFormat="false" ht="15" hidden="false" customHeight="false" outlineLevel="0" collapsed="false">
      <c r="A18" s="6" t="s">
        <v>23</v>
      </c>
      <c r="B18" s="8" t="n">
        <f aca="false">COUNTA(Localization!A5:A1000)</f>
        <v>24</v>
      </c>
    </row>
    <row r="19" customFormat="false" ht="15" hidden="false" customHeight="false" outlineLevel="0" collapsed="false">
      <c r="A19" s="5" t="s">
        <v>24</v>
      </c>
      <c r="B19" s="7" t="n">
        <f aca="false">COUNTA(Localization!A5:A1000)-COUNTA(Localization!C5:C1000)</f>
        <v>0</v>
      </c>
    </row>
    <row r="20" customFormat="false" ht="15" hidden="false" customHeight="false" outlineLevel="0" collapsed="false">
      <c r="A20" s="6" t="s">
        <v>25</v>
      </c>
      <c r="B20" s="9" t="n">
        <f aca="false">IF(COUNTA(Localization!A5:A1000)=0,0,COUNTA(Localization!C5:C1000)/COUNTA(Localization!A5:A1000))</f>
        <v>1</v>
      </c>
    </row>
    <row r="22" customFormat="false" ht="15" hidden="false" customHeight="false" outlineLevel="0" collapsed="false">
      <c r="A22" s="3" t="s">
        <v>26</v>
      </c>
    </row>
    <row r="23" customFormat="false" ht="15" hidden="false" customHeight="false" outlineLevel="0" collapsed="false">
      <c r="A23" s="10" t="s">
        <v>27</v>
      </c>
    </row>
    <row r="24" customFormat="false" ht="15" hidden="false" customHeight="false" outlineLevel="0" collapsed="false">
      <c r="A24" s="11" t="s">
        <v>28</v>
      </c>
    </row>
  </sheetData>
  <autoFilter ref="A14:B20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20"/>
    <col collapsed="false" customWidth="true" hidden="false" outlineLevel="0" max="5" min="5" style="0" width="7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2" t="s">
        <v>29</v>
      </c>
    </row>
    <row r="2" customFormat="false" ht="15" hidden="false" customHeight="false" outlineLevel="0" collapsed="false">
      <c r="A2" s="13" t="s">
        <v>30</v>
      </c>
    </row>
    <row r="4" customFormat="false" ht="15" hidden="false" customHeight="false" outlineLevel="0" collapsed="false">
      <c r="A4" s="4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4</v>
      </c>
    </row>
    <row r="5" customFormat="false" ht="15" hidden="false" customHeight="false" outlineLevel="0" collapsed="false">
      <c r="A5" s="5" t="s">
        <v>36</v>
      </c>
      <c r="B5" s="5" t="s">
        <v>37</v>
      </c>
      <c r="C5" s="5" t="s">
        <v>38</v>
      </c>
      <c r="D5" s="5" t="s">
        <v>39</v>
      </c>
      <c r="E5" s="5" t="s">
        <v>40</v>
      </c>
      <c r="F5" s="5" t="s">
        <v>41</v>
      </c>
    </row>
    <row r="6" customFormat="false" ht="23.85" hidden="false" customHeight="false" outlineLevel="0" collapsed="false">
      <c r="A6" s="6" t="s">
        <v>42</v>
      </c>
      <c r="B6" s="6" t="s">
        <v>43</v>
      </c>
      <c r="C6" s="6" t="s">
        <v>38</v>
      </c>
      <c r="D6" s="6" t="s">
        <v>44</v>
      </c>
      <c r="E6" s="6"/>
      <c r="F6" s="6" t="s">
        <v>45</v>
      </c>
    </row>
    <row r="7" customFormat="false" ht="15" hidden="false" customHeight="false" outlineLevel="0" collapsed="false">
      <c r="A7" s="5" t="s">
        <v>46</v>
      </c>
      <c r="B7" s="5" t="s">
        <v>47</v>
      </c>
      <c r="C7" s="5" t="s">
        <v>48</v>
      </c>
      <c r="D7" s="5" t="s">
        <v>49</v>
      </c>
      <c r="E7" s="5"/>
      <c r="F7" s="5" t="s">
        <v>50</v>
      </c>
    </row>
    <row r="8" customFormat="false" ht="15" hidden="false" customHeight="false" outlineLevel="0" collapsed="false">
      <c r="A8" s="6" t="s">
        <v>51</v>
      </c>
      <c r="B8" s="6" t="s">
        <v>52</v>
      </c>
      <c r="C8" s="6" t="s">
        <v>48</v>
      </c>
      <c r="D8" s="6" t="s">
        <v>49</v>
      </c>
      <c r="E8" s="6"/>
      <c r="F8" s="6" t="s">
        <v>53</v>
      </c>
    </row>
    <row r="9" customFormat="false" ht="15" hidden="false" customHeight="false" outlineLevel="0" collapsed="false">
      <c r="A9" s="5" t="s">
        <v>54</v>
      </c>
      <c r="B9" s="5" t="s">
        <v>52</v>
      </c>
      <c r="C9" s="5" t="s">
        <v>48</v>
      </c>
      <c r="D9" s="5" t="s">
        <v>49</v>
      </c>
      <c r="E9" s="5"/>
      <c r="F9" s="5" t="s">
        <v>55</v>
      </c>
    </row>
    <row r="10" customFormat="false" ht="15" hidden="false" customHeight="false" outlineLevel="0" collapsed="false">
      <c r="A10" s="6" t="s">
        <v>56</v>
      </c>
      <c r="B10" s="6" t="s">
        <v>52</v>
      </c>
      <c r="C10" s="6" t="s">
        <v>48</v>
      </c>
      <c r="D10" s="6" t="s">
        <v>49</v>
      </c>
      <c r="E10" s="6"/>
      <c r="F10" s="6" t="s">
        <v>57</v>
      </c>
    </row>
    <row r="11" customFormat="false" ht="15" hidden="false" customHeight="false" outlineLevel="0" collapsed="false">
      <c r="A11" s="5" t="s">
        <v>58</v>
      </c>
      <c r="B11" s="5" t="s">
        <v>52</v>
      </c>
      <c r="C11" s="5" t="s">
        <v>48</v>
      </c>
      <c r="D11" s="5" t="s">
        <v>49</v>
      </c>
      <c r="E11" s="5"/>
      <c r="F11" s="5" t="s">
        <v>59</v>
      </c>
    </row>
    <row r="12" customFormat="false" ht="15" hidden="false" customHeight="false" outlineLevel="0" collapsed="false">
      <c r="A12" s="6" t="s">
        <v>60</v>
      </c>
      <c r="B12" s="6" t="s">
        <v>52</v>
      </c>
      <c r="C12" s="6" t="s">
        <v>48</v>
      </c>
      <c r="D12" s="6" t="s">
        <v>49</v>
      </c>
      <c r="E12" s="6"/>
      <c r="F12" s="6" t="s">
        <v>61</v>
      </c>
    </row>
    <row r="13" customFormat="false" ht="15" hidden="false" customHeight="false" outlineLevel="0" collapsed="false">
      <c r="A13" s="5" t="s">
        <v>62</v>
      </c>
      <c r="B13" s="5" t="s">
        <v>63</v>
      </c>
      <c r="C13" s="5" t="s">
        <v>48</v>
      </c>
      <c r="D13" s="5" t="s">
        <v>49</v>
      </c>
      <c r="E13" s="5"/>
      <c r="F13" s="5" t="s">
        <v>64</v>
      </c>
    </row>
    <row r="14" customFormat="false" ht="15" hidden="false" customHeight="false" outlineLevel="0" collapsed="false">
      <c r="A14" s="6" t="s">
        <v>65</v>
      </c>
      <c r="B14" s="6" t="s">
        <v>66</v>
      </c>
      <c r="C14" s="6" t="s">
        <v>48</v>
      </c>
      <c r="D14" s="6" t="s">
        <v>49</v>
      </c>
      <c r="E14" s="6"/>
      <c r="F14" s="6" t="s">
        <v>67</v>
      </c>
    </row>
    <row r="15" customFormat="false" ht="15" hidden="false" customHeight="false" outlineLevel="0" collapsed="false">
      <c r="A15" s="5" t="s">
        <v>68</v>
      </c>
      <c r="B15" s="5" t="s">
        <v>63</v>
      </c>
      <c r="C15" s="5" t="s">
        <v>48</v>
      </c>
      <c r="D15" s="5" t="s">
        <v>49</v>
      </c>
      <c r="E15" s="5"/>
      <c r="F15" s="5" t="s">
        <v>69</v>
      </c>
    </row>
    <row r="16" customFormat="false" ht="15" hidden="false" customHeight="false" outlineLevel="0" collapsed="false">
      <c r="A16" s="6" t="s">
        <v>70</v>
      </c>
      <c r="B16" s="6" t="s">
        <v>71</v>
      </c>
      <c r="C16" s="6" t="s">
        <v>48</v>
      </c>
      <c r="D16" s="6" t="s">
        <v>49</v>
      </c>
      <c r="E16" s="6"/>
      <c r="F16" s="6" t="s">
        <v>72</v>
      </c>
    </row>
    <row r="17" customFormat="false" ht="15" hidden="false" customHeight="false" outlineLevel="0" collapsed="false">
      <c r="A17" s="5" t="s">
        <v>73</v>
      </c>
      <c r="B17" s="5" t="s">
        <v>74</v>
      </c>
      <c r="C17" s="5" t="s">
        <v>48</v>
      </c>
      <c r="D17" s="5" t="s">
        <v>49</v>
      </c>
      <c r="E17" s="5"/>
      <c r="F17" s="5" t="s">
        <v>75</v>
      </c>
    </row>
    <row r="18" customFormat="false" ht="15" hidden="false" customHeight="false" outlineLevel="0" collapsed="false">
      <c r="A18" s="6" t="s">
        <v>76</v>
      </c>
      <c r="B18" s="6" t="s">
        <v>52</v>
      </c>
      <c r="C18" s="6" t="s">
        <v>48</v>
      </c>
      <c r="D18" s="6" t="s">
        <v>49</v>
      </c>
      <c r="E18" s="6"/>
      <c r="F18" s="6" t="s">
        <v>77</v>
      </c>
    </row>
    <row r="19" customFormat="false" ht="15" hidden="false" customHeight="false" outlineLevel="0" collapsed="false">
      <c r="A19" s="5" t="s">
        <v>78</v>
      </c>
      <c r="B19" s="5" t="s">
        <v>74</v>
      </c>
      <c r="C19" s="5" t="s">
        <v>48</v>
      </c>
      <c r="D19" s="5" t="s">
        <v>49</v>
      </c>
      <c r="E19" s="5"/>
      <c r="F19" s="5" t="s">
        <v>79</v>
      </c>
    </row>
    <row r="20" customFormat="false" ht="15" hidden="false" customHeight="false" outlineLevel="0" collapsed="false">
      <c r="A20" s="6" t="s">
        <v>80</v>
      </c>
      <c r="B20" s="6" t="s">
        <v>71</v>
      </c>
      <c r="C20" s="6" t="s">
        <v>48</v>
      </c>
      <c r="D20" s="6" t="s">
        <v>49</v>
      </c>
      <c r="E20" s="6"/>
      <c r="F20" s="6" t="s">
        <v>81</v>
      </c>
    </row>
    <row r="21" customFormat="false" ht="15" hidden="false" customHeight="false" outlineLevel="0" collapsed="false">
      <c r="A21" s="5" t="s">
        <v>82</v>
      </c>
      <c r="B21" s="5" t="s">
        <v>71</v>
      </c>
      <c r="C21" s="5" t="s">
        <v>48</v>
      </c>
      <c r="D21" s="5" t="s">
        <v>49</v>
      </c>
      <c r="E21" s="5"/>
      <c r="F21" s="5" t="s">
        <v>83</v>
      </c>
    </row>
    <row r="22" customFormat="false" ht="15" hidden="false" customHeight="false" outlineLevel="0" collapsed="false">
      <c r="A22" s="6" t="s">
        <v>84</v>
      </c>
      <c r="B22" s="6" t="s">
        <v>71</v>
      </c>
      <c r="C22" s="6" t="s">
        <v>48</v>
      </c>
      <c r="D22" s="6" t="s">
        <v>49</v>
      </c>
      <c r="E22" s="6"/>
      <c r="F22" s="6" t="s">
        <v>85</v>
      </c>
    </row>
    <row r="23" customFormat="false" ht="15" hidden="false" customHeight="false" outlineLevel="0" collapsed="false">
      <c r="A23" s="5" t="s">
        <v>86</v>
      </c>
      <c r="B23" s="5" t="s">
        <v>66</v>
      </c>
      <c r="C23" s="5" t="s">
        <v>48</v>
      </c>
      <c r="D23" s="5" t="s">
        <v>49</v>
      </c>
      <c r="E23" s="5"/>
      <c r="F23" s="5" t="s">
        <v>87</v>
      </c>
    </row>
    <row r="24" customFormat="false" ht="15" hidden="false" customHeight="false" outlineLevel="0" collapsed="false">
      <c r="A24" s="6" t="s">
        <v>88</v>
      </c>
      <c r="B24" s="6" t="s">
        <v>63</v>
      </c>
      <c r="C24" s="6" t="s">
        <v>48</v>
      </c>
      <c r="D24" s="6" t="s">
        <v>49</v>
      </c>
      <c r="E24" s="6"/>
      <c r="F24" s="6" t="s">
        <v>89</v>
      </c>
    </row>
    <row r="25" customFormat="false" ht="15" hidden="false" customHeight="false" outlineLevel="0" collapsed="false">
      <c r="A25" s="14" t="s">
        <v>90</v>
      </c>
      <c r="B25" s="14" t="s">
        <v>91</v>
      </c>
      <c r="C25" s="14" t="s">
        <v>48</v>
      </c>
      <c r="D25" s="14" t="s">
        <v>92</v>
      </c>
      <c r="E25" s="14" t="s">
        <v>93</v>
      </c>
      <c r="F25" s="14" t="s">
        <v>94</v>
      </c>
    </row>
    <row r="26" customFormat="false" ht="15" hidden="false" customHeight="false" outlineLevel="0" collapsed="false">
      <c r="A26" s="6" t="s">
        <v>95</v>
      </c>
      <c r="B26" s="6" t="s">
        <v>96</v>
      </c>
      <c r="C26" s="6" t="s">
        <v>48</v>
      </c>
      <c r="D26" s="6" t="s">
        <v>49</v>
      </c>
      <c r="E26" s="6"/>
      <c r="F26" s="6" t="s">
        <v>97</v>
      </c>
    </row>
    <row r="27" customFormat="false" ht="15" hidden="false" customHeight="false" outlineLevel="0" collapsed="false">
      <c r="A27" s="5" t="s">
        <v>98</v>
      </c>
      <c r="B27" s="5" t="s">
        <v>99</v>
      </c>
      <c r="C27" s="5" t="s">
        <v>48</v>
      </c>
      <c r="D27" s="5" t="s">
        <v>100</v>
      </c>
      <c r="E27" s="5"/>
      <c r="F27" s="5" t="s">
        <v>101</v>
      </c>
    </row>
  </sheetData>
  <autoFilter ref="A4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0"/>
    <col collapsed="false" customWidth="true" hidden="false" outlineLevel="0" max="3" min="3" style="0" width="7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38"/>
  </cols>
  <sheetData>
    <row r="1" customFormat="false" ht="19.7" hidden="false" customHeight="false" outlineLevel="0" collapsed="false">
      <c r="A1" s="12" t="s">
        <v>102</v>
      </c>
    </row>
    <row r="2" customFormat="false" ht="15" hidden="false" customHeight="false" outlineLevel="0" collapsed="false">
      <c r="A2" s="13" t="s">
        <v>103</v>
      </c>
    </row>
    <row r="4" customFormat="false" ht="15" hidden="false" customHeight="false" outlineLevel="0" collapsed="false">
      <c r="A4" s="4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4</v>
      </c>
    </row>
    <row r="5" customFormat="false" ht="15" hidden="false" customHeight="false" outlineLevel="0" collapsed="false">
      <c r="A5" s="15" t="s">
        <v>36</v>
      </c>
      <c r="B5" s="15" t="s">
        <v>37</v>
      </c>
      <c r="C5" s="15" t="s">
        <v>38</v>
      </c>
      <c r="D5" s="15" t="s">
        <v>39</v>
      </c>
      <c r="E5" s="15" t="s">
        <v>40</v>
      </c>
      <c r="F5" s="15" t="s">
        <v>41</v>
      </c>
    </row>
    <row r="6" customFormat="false" ht="15" hidden="false" customHeight="false" outlineLevel="0" collapsed="false">
      <c r="A6" s="15" t="s">
        <v>104</v>
      </c>
      <c r="B6" s="15" t="s">
        <v>105</v>
      </c>
      <c r="C6" s="15" t="s">
        <v>38</v>
      </c>
      <c r="D6" s="15"/>
      <c r="E6" s="15" t="s">
        <v>106</v>
      </c>
      <c r="F6" s="15" t="s">
        <v>107</v>
      </c>
    </row>
    <row r="7" customFormat="false" ht="15" hidden="false" customHeight="false" outlineLevel="0" collapsed="false">
      <c r="A7" s="15" t="s">
        <v>108</v>
      </c>
      <c r="B7" s="15" t="s">
        <v>109</v>
      </c>
      <c r="C7" s="15" t="s">
        <v>38</v>
      </c>
      <c r="D7" s="15" t="s">
        <v>110</v>
      </c>
      <c r="E7" s="15"/>
      <c r="F7" s="15" t="s">
        <v>111</v>
      </c>
    </row>
    <row r="8" customFormat="false" ht="15" hidden="false" customHeight="false" outlineLevel="0" collapsed="false">
      <c r="A8" s="15" t="s">
        <v>98</v>
      </c>
      <c r="B8" s="15" t="s">
        <v>112</v>
      </c>
      <c r="C8" s="15" t="s">
        <v>38</v>
      </c>
      <c r="D8" s="15" t="s">
        <v>113</v>
      </c>
      <c r="E8" s="15" t="s">
        <v>93</v>
      </c>
      <c r="F8" s="15" t="s">
        <v>114</v>
      </c>
    </row>
    <row r="9" customFormat="false" ht="15" hidden="false" customHeight="false" outlineLevel="0" collapsed="false">
      <c r="A9" s="15" t="s">
        <v>90</v>
      </c>
      <c r="B9" s="15" t="s">
        <v>115</v>
      </c>
      <c r="C9" s="15" t="s">
        <v>38</v>
      </c>
      <c r="D9" s="15" t="s">
        <v>92</v>
      </c>
      <c r="E9" s="15" t="s">
        <v>93</v>
      </c>
      <c r="F9" s="15" t="s">
        <v>116</v>
      </c>
    </row>
    <row r="10" customFormat="false" ht="15" hidden="false" customHeight="false" outlineLevel="0" collapsed="false">
      <c r="A10" s="15" t="s">
        <v>117</v>
      </c>
      <c r="B10" s="15" t="s">
        <v>118</v>
      </c>
      <c r="C10" s="15" t="s">
        <v>48</v>
      </c>
      <c r="D10" s="15" t="s">
        <v>49</v>
      </c>
      <c r="E10" s="15"/>
      <c r="F10" s="15" t="s">
        <v>119</v>
      </c>
    </row>
    <row r="11" customFormat="false" ht="15" hidden="false" customHeight="false" outlineLevel="0" collapsed="false">
      <c r="A11" s="15" t="s">
        <v>120</v>
      </c>
      <c r="B11" s="15" t="s">
        <v>118</v>
      </c>
      <c r="C11" s="15" t="s">
        <v>48</v>
      </c>
      <c r="D11" s="15" t="s">
        <v>49</v>
      </c>
      <c r="E11" s="15"/>
      <c r="F11" s="15" t="s">
        <v>121</v>
      </c>
    </row>
    <row r="12" customFormat="false" ht="15" hidden="false" customHeight="false" outlineLevel="0" collapsed="false">
      <c r="A12" s="15" t="s">
        <v>122</v>
      </c>
      <c r="B12" s="15" t="s">
        <v>96</v>
      </c>
      <c r="C12" s="15" t="s">
        <v>48</v>
      </c>
      <c r="D12" s="15" t="s">
        <v>49</v>
      </c>
      <c r="E12" s="15"/>
      <c r="F12" s="15" t="s">
        <v>123</v>
      </c>
    </row>
    <row r="13" customFormat="false" ht="15" hidden="false" customHeight="false" outlineLevel="0" collapsed="false">
      <c r="A13" s="15" t="s">
        <v>124</v>
      </c>
      <c r="B13" s="15" t="s">
        <v>125</v>
      </c>
      <c r="C13" s="15" t="s">
        <v>48</v>
      </c>
      <c r="D13" s="15" t="s">
        <v>49</v>
      </c>
      <c r="E13" s="15"/>
      <c r="F13" s="15" t="s">
        <v>126</v>
      </c>
    </row>
    <row r="14" customFormat="false" ht="15" hidden="false" customHeight="false" outlineLevel="0" collapsed="false">
      <c r="A14" s="15" t="s">
        <v>127</v>
      </c>
      <c r="B14" s="15" t="s">
        <v>43</v>
      </c>
      <c r="C14" s="15" t="s">
        <v>38</v>
      </c>
      <c r="D14" s="15" t="s">
        <v>44</v>
      </c>
      <c r="E14" s="15"/>
      <c r="F14" s="15" t="s">
        <v>128</v>
      </c>
    </row>
    <row r="15" customFormat="false" ht="23.85" hidden="false" customHeight="false" outlineLevel="0" collapsed="false">
      <c r="A15" s="15" t="s">
        <v>129</v>
      </c>
      <c r="B15" s="15" t="s">
        <v>43</v>
      </c>
      <c r="C15" s="15" t="s">
        <v>38</v>
      </c>
      <c r="D15" s="15" t="s">
        <v>130</v>
      </c>
      <c r="E15" s="15"/>
      <c r="F15" s="15" t="s">
        <v>131</v>
      </c>
    </row>
  </sheetData>
  <autoFilter ref="A4:F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2" t="s">
        <v>132</v>
      </c>
    </row>
    <row r="2" customFormat="false" ht="15" hidden="false" customHeight="false" outlineLevel="0" collapsed="false">
      <c r="A2" s="13" t="s">
        <v>133</v>
      </c>
    </row>
    <row r="4" customFormat="false" ht="15" hidden="false" customHeight="false" outlineLevel="0" collapsed="false">
      <c r="A4" s="4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4" t="s">
        <v>4</v>
      </c>
    </row>
    <row r="5" customFormat="false" ht="15" hidden="false" customHeight="false" outlineLevel="0" collapsed="false">
      <c r="A5" s="15" t="s">
        <v>36</v>
      </c>
      <c r="B5" s="15" t="s">
        <v>37</v>
      </c>
      <c r="C5" s="15" t="s">
        <v>38</v>
      </c>
      <c r="D5" s="15" t="s">
        <v>39</v>
      </c>
      <c r="E5" s="15" t="s">
        <v>40</v>
      </c>
      <c r="F5" s="15" t="s">
        <v>41</v>
      </c>
    </row>
    <row r="6" customFormat="false" ht="15" hidden="false" customHeight="false" outlineLevel="0" collapsed="false">
      <c r="A6" s="15" t="s">
        <v>134</v>
      </c>
      <c r="B6" s="15" t="s">
        <v>135</v>
      </c>
      <c r="C6" s="15" t="s">
        <v>38</v>
      </c>
      <c r="D6" s="15"/>
      <c r="E6" s="15" t="s">
        <v>106</v>
      </c>
      <c r="F6" s="15" t="s">
        <v>136</v>
      </c>
    </row>
    <row r="7" customFormat="false" ht="15" hidden="false" customHeight="false" outlineLevel="0" collapsed="false">
      <c r="A7" s="15" t="s">
        <v>137</v>
      </c>
      <c r="B7" s="15" t="s">
        <v>71</v>
      </c>
      <c r="C7" s="15" t="s">
        <v>48</v>
      </c>
      <c r="D7" s="15" t="s">
        <v>49</v>
      </c>
      <c r="E7" s="15"/>
      <c r="F7" s="15" t="s">
        <v>138</v>
      </c>
    </row>
    <row r="8" customFormat="false" ht="15" hidden="false" customHeight="false" outlineLevel="0" collapsed="false">
      <c r="A8" s="15" t="s">
        <v>139</v>
      </c>
      <c r="B8" s="15" t="s">
        <v>71</v>
      </c>
      <c r="C8" s="15" t="s">
        <v>48</v>
      </c>
      <c r="D8" s="15" t="s">
        <v>49</v>
      </c>
      <c r="E8" s="15"/>
      <c r="F8" s="15" t="s">
        <v>140</v>
      </c>
    </row>
    <row r="9" customFormat="false" ht="15" hidden="false" customHeight="false" outlineLevel="0" collapsed="false">
      <c r="A9" s="15" t="s">
        <v>141</v>
      </c>
      <c r="B9" s="15" t="s">
        <v>105</v>
      </c>
      <c r="C9" s="15" t="s">
        <v>48</v>
      </c>
      <c r="D9" s="15" t="s">
        <v>49</v>
      </c>
      <c r="E9" s="15"/>
      <c r="F9" s="15" t="s">
        <v>142</v>
      </c>
    </row>
    <row r="10" customFormat="false" ht="23.85" hidden="false" customHeight="false" outlineLevel="0" collapsed="false">
      <c r="A10" s="15" t="s">
        <v>129</v>
      </c>
      <c r="B10" s="15" t="s">
        <v>43</v>
      </c>
      <c r="C10" s="15" t="s">
        <v>38</v>
      </c>
      <c r="D10" s="15" t="s">
        <v>130</v>
      </c>
      <c r="E10" s="15"/>
      <c r="F10" s="15" t="s">
        <v>131</v>
      </c>
    </row>
  </sheetData>
  <autoFilter ref="A4:F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56"/>
    <col collapsed="false" customWidth="true" hidden="false" outlineLevel="0" max="3" min="3" style="0" width="22"/>
  </cols>
  <sheetData>
    <row r="1" customFormat="false" ht="19.7" hidden="false" customHeight="false" outlineLevel="0" collapsed="false">
      <c r="A1" s="12" t="s">
        <v>143</v>
      </c>
    </row>
    <row r="3" customFormat="false" ht="15" hidden="false" customHeight="false" outlineLevel="0" collapsed="false">
      <c r="A3" s="4" t="s">
        <v>144</v>
      </c>
      <c r="B3" s="4" t="s">
        <v>145</v>
      </c>
      <c r="C3" s="4" t="s">
        <v>146</v>
      </c>
    </row>
    <row r="4" customFormat="false" ht="15" hidden="false" customHeight="false" outlineLevel="0" collapsed="false">
      <c r="A4" s="5" t="s">
        <v>147</v>
      </c>
      <c r="B4" s="5" t="s">
        <v>148</v>
      </c>
      <c r="C4" s="5" t="s">
        <v>149</v>
      </c>
    </row>
    <row r="5" customFormat="false" ht="15" hidden="false" customHeight="false" outlineLevel="0" collapsed="false">
      <c r="A5" s="6" t="s">
        <v>150</v>
      </c>
      <c r="B5" s="6" t="s">
        <v>151</v>
      </c>
      <c r="C5" s="6" t="s">
        <v>152</v>
      </c>
    </row>
    <row r="6" customFormat="false" ht="15" hidden="false" customHeight="false" outlineLevel="0" collapsed="false">
      <c r="A6" s="5" t="s">
        <v>153</v>
      </c>
      <c r="B6" s="5" t="s">
        <v>154</v>
      </c>
      <c r="C6" s="5" t="s">
        <v>152</v>
      </c>
    </row>
    <row r="7" customFormat="false" ht="15" hidden="false" customHeight="false" outlineLevel="0" collapsed="false">
      <c r="A7" s="6" t="s">
        <v>90</v>
      </c>
      <c r="B7" s="6" t="s">
        <v>155</v>
      </c>
      <c r="C7" s="6" t="s">
        <v>156</v>
      </c>
    </row>
    <row r="8" customFormat="false" ht="15" hidden="false" customHeight="false" outlineLevel="0" collapsed="false">
      <c r="A8" s="5" t="s">
        <v>65</v>
      </c>
      <c r="B8" s="5" t="s">
        <v>157</v>
      </c>
      <c r="C8" s="5" t="s">
        <v>158</v>
      </c>
    </row>
    <row r="9" customFormat="false" ht="15" hidden="false" customHeight="false" outlineLevel="0" collapsed="false">
      <c r="A9" s="6" t="s">
        <v>86</v>
      </c>
      <c r="B9" s="6" t="s">
        <v>159</v>
      </c>
      <c r="C9" s="6" t="s">
        <v>158</v>
      </c>
    </row>
    <row r="10" customFormat="false" ht="15" hidden="false" customHeight="false" outlineLevel="0" collapsed="false">
      <c r="A10" s="5" t="s">
        <v>88</v>
      </c>
      <c r="B10" s="5" t="s">
        <v>160</v>
      </c>
      <c r="C10" s="5" t="s">
        <v>158</v>
      </c>
    </row>
  </sheetData>
  <autoFilter ref="A3:C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38"/>
    <col collapsed="false" customWidth="true" hidden="false" outlineLevel="0" max="4" min="4" style="0" width="22"/>
  </cols>
  <sheetData>
    <row r="1" customFormat="false" ht="19.7" hidden="false" customHeight="false" outlineLevel="0" collapsed="false">
      <c r="A1" s="12" t="s">
        <v>161</v>
      </c>
    </row>
    <row r="2" customFormat="false" ht="15" hidden="false" customHeight="false" outlineLevel="0" collapsed="false">
      <c r="A2" s="13" t="s">
        <v>162</v>
      </c>
    </row>
    <row r="4" customFormat="false" ht="15" hidden="false" customHeight="false" outlineLevel="0" collapsed="false">
      <c r="A4" s="4" t="s">
        <v>134</v>
      </c>
      <c r="B4" s="4" t="s">
        <v>163</v>
      </c>
      <c r="C4" s="4" t="s">
        <v>164</v>
      </c>
      <c r="D4" s="4" t="s">
        <v>165</v>
      </c>
    </row>
    <row r="5" customFormat="false" ht="15" hidden="false" customHeight="false" outlineLevel="0" collapsed="false">
      <c r="A5" s="5" t="s">
        <v>166</v>
      </c>
      <c r="B5" s="5" t="s">
        <v>167</v>
      </c>
      <c r="C5" s="16" t="s">
        <v>168</v>
      </c>
      <c r="D5" s="5" t="s">
        <v>169</v>
      </c>
    </row>
    <row r="6" customFormat="false" ht="15" hidden="false" customHeight="false" outlineLevel="0" collapsed="false">
      <c r="A6" s="6" t="s">
        <v>170</v>
      </c>
      <c r="B6" s="6" t="s">
        <v>171</v>
      </c>
      <c r="C6" s="17" t="s">
        <v>172</v>
      </c>
      <c r="D6" s="6" t="s">
        <v>169</v>
      </c>
    </row>
    <row r="7" customFormat="false" ht="15" hidden="false" customHeight="false" outlineLevel="0" collapsed="false">
      <c r="A7" s="5" t="s">
        <v>173</v>
      </c>
      <c r="B7" s="5" t="s">
        <v>174</v>
      </c>
      <c r="C7" s="16" t="s">
        <v>175</v>
      </c>
      <c r="D7" s="5" t="s">
        <v>169</v>
      </c>
    </row>
    <row r="8" customFormat="false" ht="15" hidden="false" customHeight="false" outlineLevel="0" collapsed="false">
      <c r="A8" s="6" t="s">
        <v>176</v>
      </c>
      <c r="B8" s="6" t="s">
        <v>177</v>
      </c>
      <c r="C8" s="17" t="s">
        <v>178</v>
      </c>
      <c r="D8" s="6" t="s">
        <v>169</v>
      </c>
    </row>
    <row r="9" customFormat="false" ht="15" hidden="false" customHeight="false" outlineLevel="0" collapsed="false">
      <c r="A9" s="5" t="s">
        <v>179</v>
      </c>
      <c r="B9" s="5" t="s">
        <v>180</v>
      </c>
      <c r="C9" s="16" t="s">
        <v>181</v>
      </c>
      <c r="D9" s="5" t="s">
        <v>169</v>
      </c>
    </row>
    <row r="10" customFormat="false" ht="15" hidden="false" customHeight="false" outlineLevel="0" collapsed="false">
      <c r="A10" s="6" t="s">
        <v>182</v>
      </c>
      <c r="B10" s="6" t="s">
        <v>183</v>
      </c>
      <c r="C10" s="17" t="s">
        <v>184</v>
      </c>
      <c r="D10" s="6" t="s">
        <v>169</v>
      </c>
    </row>
    <row r="11" customFormat="false" ht="15" hidden="false" customHeight="false" outlineLevel="0" collapsed="false">
      <c r="A11" s="5" t="s">
        <v>185</v>
      </c>
      <c r="B11" s="5" t="s">
        <v>186</v>
      </c>
      <c r="C11" s="16" t="s">
        <v>187</v>
      </c>
      <c r="D11" s="5" t="s">
        <v>169</v>
      </c>
    </row>
    <row r="12" customFormat="false" ht="15" hidden="false" customHeight="false" outlineLevel="0" collapsed="false">
      <c r="A12" s="6" t="s">
        <v>188</v>
      </c>
      <c r="B12" s="6" t="s">
        <v>189</v>
      </c>
      <c r="C12" s="17" t="s">
        <v>190</v>
      </c>
      <c r="D12" s="6" t="s">
        <v>191</v>
      </c>
    </row>
    <row r="13" customFormat="false" ht="15" hidden="false" customHeight="false" outlineLevel="0" collapsed="false">
      <c r="A13" s="5" t="s">
        <v>192</v>
      </c>
      <c r="B13" s="5" t="s">
        <v>193</v>
      </c>
      <c r="C13" s="16" t="s">
        <v>187</v>
      </c>
      <c r="D13" s="5" t="s">
        <v>194</v>
      </c>
    </row>
    <row r="14" customFormat="false" ht="15" hidden="false" customHeight="false" outlineLevel="0" collapsed="false">
      <c r="A14" s="6" t="s">
        <v>195</v>
      </c>
      <c r="B14" s="6" t="s">
        <v>196</v>
      </c>
      <c r="C14" s="17" t="s">
        <v>197</v>
      </c>
      <c r="D14" s="6" t="s">
        <v>198</v>
      </c>
    </row>
    <row r="15" customFormat="false" ht="15" hidden="false" customHeight="false" outlineLevel="0" collapsed="false">
      <c r="A15" s="5" t="s">
        <v>199</v>
      </c>
      <c r="B15" s="5" t="s">
        <v>200</v>
      </c>
      <c r="C15" s="16" t="s">
        <v>201</v>
      </c>
      <c r="D15" s="5" t="s">
        <v>171</v>
      </c>
    </row>
    <row r="16" customFormat="false" ht="15" hidden="false" customHeight="false" outlineLevel="0" collapsed="false">
      <c r="A16" s="6" t="s">
        <v>202</v>
      </c>
      <c r="B16" s="6" t="s">
        <v>203</v>
      </c>
      <c r="C16" s="17" t="s">
        <v>204</v>
      </c>
      <c r="D16" s="6" t="s">
        <v>205</v>
      </c>
    </row>
    <row r="17" customFormat="false" ht="15" hidden="false" customHeight="false" outlineLevel="0" collapsed="false">
      <c r="A17" s="5" t="s">
        <v>206</v>
      </c>
      <c r="B17" s="5" t="s">
        <v>207</v>
      </c>
      <c r="C17" s="16" t="s">
        <v>208</v>
      </c>
      <c r="D17" s="5" t="s">
        <v>205</v>
      </c>
    </row>
    <row r="18" customFormat="false" ht="15" hidden="false" customHeight="false" outlineLevel="0" collapsed="false">
      <c r="A18" s="6" t="s">
        <v>209</v>
      </c>
      <c r="B18" s="6" t="s">
        <v>210</v>
      </c>
      <c r="C18" s="17" t="s">
        <v>211</v>
      </c>
      <c r="D18" s="6" t="s">
        <v>205</v>
      </c>
    </row>
    <row r="19" customFormat="false" ht="15" hidden="false" customHeight="false" outlineLevel="0" collapsed="false">
      <c r="A19" s="5" t="s">
        <v>212</v>
      </c>
      <c r="B19" s="5" t="s">
        <v>213</v>
      </c>
      <c r="C19" s="16" t="s">
        <v>214</v>
      </c>
      <c r="D19" s="5" t="s">
        <v>205</v>
      </c>
    </row>
    <row r="20" customFormat="false" ht="15" hidden="false" customHeight="false" outlineLevel="0" collapsed="false">
      <c r="A20" s="6" t="s">
        <v>215</v>
      </c>
      <c r="B20" s="6" t="s">
        <v>216</v>
      </c>
      <c r="C20" s="17" t="s">
        <v>217</v>
      </c>
      <c r="D20" s="6" t="s">
        <v>205</v>
      </c>
    </row>
    <row r="21" customFormat="false" ht="15" hidden="false" customHeight="false" outlineLevel="0" collapsed="false">
      <c r="A21" s="5" t="s">
        <v>218</v>
      </c>
      <c r="B21" s="5" t="s">
        <v>219</v>
      </c>
      <c r="C21" s="16" t="s">
        <v>220</v>
      </c>
      <c r="D21" s="5" t="s">
        <v>221</v>
      </c>
    </row>
    <row r="22" customFormat="false" ht="15" hidden="false" customHeight="false" outlineLevel="0" collapsed="false">
      <c r="A22" s="6" t="s">
        <v>222</v>
      </c>
      <c r="B22" s="6" t="s">
        <v>223</v>
      </c>
      <c r="C22" s="17" t="s">
        <v>224</v>
      </c>
      <c r="D22" s="6" t="s">
        <v>221</v>
      </c>
    </row>
    <row r="23" customFormat="false" ht="15" hidden="false" customHeight="false" outlineLevel="0" collapsed="false">
      <c r="A23" s="5" t="s">
        <v>225</v>
      </c>
      <c r="B23" s="5" t="s">
        <v>226</v>
      </c>
      <c r="C23" s="16" t="s">
        <v>227</v>
      </c>
      <c r="D23" s="5" t="s">
        <v>221</v>
      </c>
    </row>
    <row r="24" customFormat="false" ht="15" hidden="false" customHeight="false" outlineLevel="0" collapsed="false">
      <c r="A24" s="6" t="s">
        <v>228</v>
      </c>
      <c r="B24" s="6" t="s">
        <v>229</v>
      </c>
      <c r="C24" s="17" t="s">
        <v>230</v>
      </c>
      <c r="D24" s="6" t="s">
        <v>221</v>
      </c>
    </row>
    <row r="25" customFormat="false" ht="15" hidden="false" customHeight="false" outlineLevel="0" collapsed="false">
      <c r="A25" s="5" t="s">
        <v>231</v>
      </c>
      <c r="B25" s="5" t="s">
        <v>232</v>
      </c>
      <c r="C25" s="16" t="s">
        <v>233</v>
      </c>
      <c r="D25" s="5" t="s">
        <v>234</v>
      </c>
    </row>
    <row r="26" customFormat="false" ht="15" hidden="false" customHeight="false" outlineLevel="0" collapsed="false">
      <c r="A26" s="6" t="s">
        <v>235</v>
      </c>
      <c r="B26" s="6" t="s">
        <v>236</v>
      </c>
      <c r="C26" s="17" t="s">
        <v>237</v>
      </c>
      <c r="D26" s="6" t="s">
        <v>234</v>
      </c>
    </row>
    <row r="27" customFormat="false" ht="15" hidden="false" customHeight="false" outlineLevel="0" collapsed="false">
      <c r="A27" s="5" t="s">
        <v>238</v>
      </c>
      <c r="B27" s="5" t="s">
        <v>239</v>
      </c>
      <c r="C27" s="16" t="s">
        <v>240</v>
      </c>
      <c r="D27" s="5" t="s">
        <v>234</v>
      </c>
    </row>
    <row r="28" customFormat="false" ht="15" hidden="false" customHeight="false" outlineLevel="0" collapsed="false">
      <c r="A28" s="6" t="s">
        <v>241</v>
      </c>
      <c r="B28" s="6" t="s">
        <v>242</v>
      </c>
      <c r="C28" s="17" t="s">
        <v>243</v>
      </c>
      <c r="D28" s="6" t="s">
        <v>244</v>
      </c>
    </row>
  </sheetData>
  <autoFilter ref="A4:D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9.7" hidden="false" customHeight="false" outlineLevel="0" collapsed="false">
      <c r="A1" s="12" t="s">
        <v>245</v>
      </c>
    </row>
    <row r="3" customFormat="false" ht="15" hidden="false" customHeight="false" outlineLevel="0" collapsed="false">
      <c r="A3" s="18" t="s">
        <v>246</v>
      </c>
    </row>
    <row r="4" customFormat="false" ht="15" hidden="false" customHeight="false" outlineLevel="0" collapsed="false">
      <c r="A4" s="18" t="s">
        <v>247</v>
      </c>
    </row>
    <row r="5" customFormat="false" ht="15" hidden="false" customHeight="false" outlineLevel="0" collapsed="false">
      <c r="A5" s="18" t="s">
        <v>248</v>
      </c>
    </row>
    <row r="6" customFormat="false" ht="15" hidden="false" customHeight="false" outlineLevel="0" collapsed="false">
      <c r="A6" s="18" t="s">
        <v>249</v>
      </c>
    </row>
    <row r="7" customFormat="false" ht="15" hidden="false" customHeight="false" outlineLevel="0" collapsed="false">
      <c r="A7" s="18" t="s">
        <v>250</v>
      </c>
    </row>
    <row r="8" customFormat="false" ht="15" hidden="false" customHeight="false" outlineLevel="0" collapsed="false">
      <c r="A8" s="18" t="s">
        <v>251</v>
      </c>
    </row>
    <row r="9" customFormat="false" ht="15" hidden="false" customHeight="false" outlineLevel="0" collapsed="false">
      <c r="A9" s="18" t="s">
        <v>252</v>
      </c>
    </row>
    <row r="10" customFormat="false" ht="15" hidden="false" customHeight="false" outlineLevel="0" collapsed="false">
      <c r="A10" s="18" t="s">
        <v>253</v>
      </c>
    </row>
    <row r="11" customFormat="false" ht="15" hidden="false" customHeight="false" outlineLevel="0" collapsed="false">
      <c r="A11" s="18" t="s">
        <v>254</v>
      </c>
    </row>
    <row r="12" customFormat="false" ht="15" hidden="false" customHeight="false" outlineLevel="0" collapsed="false">
      <c r="A12" s="18" t="s">
        <v>255</v>
      </c>
    </row>
    <row r="13" customFormat="false" ht="15" hidden="false" customHeight="false" outlineLevel="0" collapsed="false">
      <c r="A13" s="18" t="s">
        <v>256</v>
      </c>
    </row>
    <row r="14" customFormat="false" ht="15" hidden="false" customHeight="false" outlineLevel="0" collapsed="false">
      <c r="A14" s="18" t="s">
        <v>257</v>
      </c>
    </row>
    <row r="15" customFormat="false" ht="15" hidden="false" customHeight="false" outlineLevel="0" collapsed="false">
      <c r="A15" s="18" t="s">
        <v>258</v>
      </c>
    </row>
    <row r="16" customFormat="false" ht="15" hidden="false" customHeight="false" outlineLevel="0" collapsed="false">
      <c r="A16" s="18" t="s">
        <v>259</v>
      </c>
    </row>
    <row r="17" customFormat="false" ht="15" hidden="false" customHeight="false" outlineLevel="0" collapsed="false">
      <c r="A17" s="18" t="s">
        <v>260</v>
      </c>
    </row>
    <row r="18" customFormat="false" ht="15" hidden="false" customHeight="false" outlineLevel="0" collapsed="false">
      <c r="A18" s="18" t="s">
        <v>261</v>
      </c>
    </row>
    <row r="19" customFormat="false" ht="15" hidden="false" customHeight="false" outlineLevel="0" collapsed="false">
      <c r="A19" s="18"/>
    </row>
    <row r="20" customFormat="false" ht="15" hidden="false" customHeight="false" outlineLevel="0" collapsed="false">
      <c r="A20" s="18" t="s">
        <v>262</v>
      </c>
    </row>
    <row r="21" customFormat="false" ht="15" hidden="false" customHeight="false" outlineLevel="0" collapsed="false">
      <c r="A21" s="18" t="s">
        <v>263</v>
      </c>
    </row>
    <row r="22" customFormat="false" ht="15" hidden="false" customHeight="false" outlineLevel="0" collapsed="false">
      <c r="A22" s="18" t="s">
        <v>248</v>
      </c>
    </row>
    <row r="23" customFormat="false" ht="15" hidden="false" customHeight="false" outlineLevel="0" collapsed="false">
      <c r="A23" s="18" t="s">
        <v>264</v>
      </c>
    </row>
    <row r="24" customFormat="false" ht="15" hidden="false" customHeight="false" outlineLevel="0" collapsed="false">
      <c r="A24" s="18" t="s">
        <v>265</v>
      </c>
    </row>
    <row r="25" customFormat="false" ht="15" hidden="false" customHeight="false" outlineLevel="0" collapsed="false">
      <c r="A25" s="18" t="s">
        <v>266</v>
      </c>
    </row>
    <row r="26" customFormat="false" ht="15" hidden="false" customHeight="false" outlineLevel="0" collapsed="false">
      <c r="A26" s="18" t="s">
        <v>267</v>
      </c>
    </row>
    <row r="27" customFormat="false" ht="15" hidden="false" customHeight="false" outlineLevel="0" collapsed="false">
      <c r="A27" s="18" t="s">
        <v>268</v>
      </c>
    </row>
    <row r="28" customFormat="false" ht="15" hidden="false" customHeight="false" outlineLevel="0" collapsed="false">
      <c r="A28" s="18" t="s">
        <v>269</v>
      </c>
    </row>
    <row r="29" customFormat="false" ht="15" hidden="false" customHeight="false" outlineLevel="0" collapsed="false">
      <c r="A29" s="18" t="s">
        <v>270</v>
      </c>
    </row>
    <row r="30" customFormat="false" ht="15" hidden="false" customHeight="false" outlineLevel="0" collapsed="false">
      <c r="A30" s="18" t="s">
        <v>271</v>
      </c>
    </row>
    <row r="31" customFormat="false" ht="15" hidden="false" customHeight="false" outlineLevel="0" collapsed="false">
      <c r="A31" s="18" t="s">
        <v>272</v>
      </c>
    </row>
    <row r="32" customFormat="false" ht="15" hidden="false" customHeight="false" outlineLevel="0" collapsed="false">
      <c r="A32" s="18" t="s">
        <v>261</v>
      </c>
    </row>
    <row r="33" customFormat="false" ht="15" hidden="false" customHeight="false" outlineLevel="0" collapsed="false">
      <c r="A33" s="18"/>
    </row>
    <row r="34" customFormat="false" ht="15" hidden="false" customHeight="false" outlineLevel="0" collapsed="false">
      <c r="A34" s="18" t="s">
        <v>273</v>
      </c>
    </row>
    <row r="35" customFormat="false" ht="15" hidden="false" customHeight="false" outlineLevel="0" collapsed="false">
      <c r="A35" s="18" t="s">
        <v>274</v>
      </c>
    </row>
    <row r="36" customFormat="false" ht="15" hidden="false" customHeight="false" outlineLevel="0" collapsed="false">
      <c r="A36" s="18" t="s">
        <v>248</v>
      </c>
    </row>
    <row r="37" customFormat="false" ht="15" hidden="false" customHeight="false" outlineLevel="0" collapsed="false">
      <c r="A37" s="18" t="s">
        <v>275</v>
      </c>
    </row>
    <row r="38" customFormat="false" ht="15" hidden="false" customHeight="false" outlineLevel="0" collapsed="false">
      <c r="A38" s="18" t="s">
        <v>276</v>
      </c>
    </row>
    <row r="39" customFormat="false" ht="15" hidden="false" customHeight="false" outlineLevel="0" collapsed="false">
      <c r="A39" s="18" t="s">
        <v>277</v>
      </c>
    </row>
    <row r="40" customFormat="false" ht="15" hidden="false" customHeight="false" outlineLevel="0" collapsed="false">
      <c r="A40" s="18" t="s">
        <v>278</v>
      </c>
    </row>
    <row r="41" customFormat="false" ht="15" hidden="false" customHeight="false" outlineLevel="0" collapsed="false">
      <c r="A41" s="18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2026-06-03T14:19:39Z</dcterms:created>
  <dc:creator>openpyxl</dc:creator>
  <dc:description/>
  <dc:language>en-US</dc:language>
  <cp:lastModifiedBy/>
  <dcterms:modified xsi:type="dcterms:W3CDTF">2026-06-03T14:19:39Z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